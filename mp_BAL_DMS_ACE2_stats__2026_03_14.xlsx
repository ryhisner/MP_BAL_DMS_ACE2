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ryhisner/"/>
    </mc:Choice>
  </mc:AlternateContent>
  <xr:revisionPtr revIDLastSave="0" documentId="13_ncr:1_{E1FB7CD8-0727-5240-9FAE-2FCE6BE2DB08}" xr6:coauthVersionLast="47" xr6:coauthVersionMax="47" xr10:uidLastSave="{00000000-0000-0000-0000-000000000000}"/>
  <bookViews>
    <workbookView xWindow="0" yWindow="760" windowWidth="30240" windowHeight="18880" xr2:uid="{4089984E-CDB2-9E46-AC2B-8C680D815B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B30" i="1"/>
  <c r="G30" i="1"/>
  <c r="F30" i="1"/>
</calcChain>
</file>

<file path=xl/sharedStrings.xml><?xml version="1.0" encoding="utf-8"?>
<sst xmlns="http://schemas.openxmlformats.org/spreadsheetml/2006/main" count="65" uniqueCount="37">
  <si>
    <t>KP.3.1.1 DMS</t>
  </si>
  <si>
    <t>Mutation</t>
  </si>
  <si>
    <t>Adult Sera Escape</t>
  </si>
  <si>
    <t>ACE2 Binding</t>
  </si>
  <si>
    <t>T274I</t>
  </si>
  <si>
    <t>P330S</t>
  </si>
  <si>
    <t>N354D</t>
  </si>
  <si>
    <t>V367F</t>
  </si>
  <si>
    <t>Y369H</t>
  </si>
  <si>
    <t>A372T</t>
  </si>
  <si>
    <t>F374L</t>
  </si>
  <si>
    <t>A376V</t>
  </si>
  <si>
    <t>N405D</t>
  </si>
  <si>
    <t>N405S</t>
  </si>
  <si>
    <t>Y508H</t>
  </si>
  <si>
    <t>V551I</t>
  </si>
  <si>
    <t>T573I</t>
  </si>
  <si>
    <t>A647S</t>
  </si>
  <si>
    <t>A653V</t>
  </si>
  <si>
    <t>S659A</t>
  </si>
  <si>
    <t>S659P</t>
  </si>
  <si>
    <t>A668V</t>
  </si>
  <si>
    <t>S691F</t>
  </si>
  <si>
    <t>I693V</t>
  </si>
  <si>
    <t>T859I</t>
  </si>
  <si>
    <t>A944T</t>
  </si>
  <si>
    <t>A958D</t>
  </si>
  <si>
    <t>N978D</t>
  </si>
  <si>
    <t>I1169T</t>
  </si>
  <si>
    <t>I1179T</t>
  </si>
  <si>
    <t>L1186F</t>
  </si>
  <si>
    <t>Mean</t>
  </si>
  <si>
    <t>N657K</t>
  </si>
  <si>
    <t>XBB .1.5 DMS</t>
  </si>
  <si>
    <t xml:space="preserve">These results are taken from the Bloom Lab DMS results of Jesse Bloom and Bernadeta Dadonaite, which can be found at the following Github repositories:                            </t>
  </si>
  <si>
    <t xml:space="preserve">KP.3.1.1 — https://github.com/dms-vep/SARS-CoV-2_KP.3.1.1_spike_DMS/blob/main/results/summaries/sera_group_averages.csv                                </t>
  </si>
  <si>
    <t>XBB.1.5 — https://github.com/dms-vep/SARS-CoV-2_XBB.1.5_spike_DMS/blob/main/results/summaries/summary.csv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</si>
</sst>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 (Body)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164" fontId="0" fillId="0" borderId="0" xfId="0" applyNumberForma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B340-2A9B-2F4F-9171-056D8434B657}">
  <sheetPr codeName="Sheet1"/>
  <dimension ref="A1:Q33"/>
  <sheetViews>
    <sheetView tabSelected="1" workbookViewId="0">
      <selection activeCell="O21" sqref="O21"/>
    </sheetView>
  </sheetViews>
  <sheetFormatPr baseColWidth="10" defaultRowHeight="16" x14ac:dyDescent="0.2"/>
  <cols>
    <col min="1" max="1" width="8.5" customWidth="1"/>
    <col min="2" max="2" width="7" customWidth="1"/>
    <col min="3" max="3" width="7.6640625" customWidth="1"/>
    <col min="4" max="4" width="5.5" customWidth="1"/>
    <col min="5" max="5" width="8.5" customWidth="1"/>
    <col min="6" max="6" width="7" customWidth="1"/>
    <col min="7" max="7" width="7.6640625" customWidth="1"/>
    <col min="15" max="15" width="45.1640625" customWidth="1"/>
  </cols>
  <sheetData>
    <row r="1" spans="1:17" ht="29" customHeight="1" x14ac:dyDescent="0.3">
      <c r="A1" s="5" t="s">
        <v>0</v>
      </c>
      <c r="B1" s="5"/>
      <c r="C1" s="5"/>
      <c r="E1" s="5" t="s">
        <v>33</v>
      </c>
      <c r="F1" s="5"/>
      <c r="G1" s="5"/>
      <c r="H1" s="8"/>
      <c r="I1" s="9"/>
      <c r="J1" s="9"/>
      <c r="K1" s="9"/>
      <c r="N1" s="8"/>
      <c r="O1" s="9"/>
      <c r="P1" s="9"/>
      <c r="Q1" s="9"/>
    </row>
    <row r="2" spans="1:17" ht="51" x14ac:dyDescent="0.2">
      <c r="A2" s="1" t="s">
        <v>1</v>
      </c>
      <c r="B2" s="2" t="s">
        <v>2</v>
      </c>
      <c r="C2" s="2" t="s">
        <v>3</v>
      </c>
      <c r="E2" s="1" t="s">
        <v>1</v>
      </c>
      <c r="F2" s="2" t="s">
        <v>2</v>
      </c>
      <c r="G2" s="2" t="s">
        <v>3</v>
      </c>
    </row>
    <row r="3" spans="1:17" ht="16" customHeight="1" x14ac:dyDescent="0.2">
      <c r="A3" t="s">
        <v>4</v>
      </c>
      <c r="B3" s="3">
        <v>-0.107</v>
      </c>
      <c r="C3" s="3">
        <v>3.2000000000000001E-2</v>
      </c>
      <c r="E3" t="s">
        <v>4</v>
      </c>
      <c r="F3" s="3">
        <v>0.05</v>
      </c>
      <c r="G3" s="3">
        <v>-1.7999999999999999E-2</v>
      </c>
      <c r="I3" s="10" t="s">
        <v>34</v>
      </c>
      <c r="J3" s="10"/>
      <c r="K3" s="10"/>
      <c r="L3" s="10"/>
      <c r="M3" s="10"/>
      <c r="N3" s="10"/>
      <c r="O3" s="10"/>
    </row>
    <row r="4" spans="1:17" x14ac:dyDescent="0.2">
      <c r="A4" t="s">
        <v>5</v>
      </c>
      <c r="B4" s="3">
        <v>-7.5999999999999998E-2</v>
      </c>
      <c r="C4" s="3">
        <v>-2.5999999999999999E-2</v>
      </c>
      <c r="E4" t="s">
        <v>5</v>
      </c>
      <c r="F4" s="3">
        <v>-0.16200000000000001</v>
      </c>
      <c r="G4" s="3">
        <v>0.22800000000000001</v>
      </c>
      <c r="I4" s="10"/>
      <c r="J4" s="10"/>
      <c r="K4" s="10"/>
      <c r="L4" s="10"/>
      <c r="M4" s="10"/>
      <c r="N4" s="10"/>
      <c r="O4" s="10"/>
    </row>
    <row r="5" spans="1:17" x14ac:dyDescent="0.2">
      <c r="A5" t="s">
        <v>6</v>
      </c>
      <c r="B5" s="3">
        <v>-0.378</v>
      </c>
      <c r="C5" s="3">
        <v>0.74</v>
      </c>
      <c r="E5" t="s">
        <v>6</v>
      </c>
      <c r="F5" s="3">
        <v>8.1000000000000003E-2</v>
      </c>
      <c r="G5" s="3">
        <v>1.4E-2</v>
      </c>
      <c r="I5" s="12" t="s">
        <v>35</v>
      </c>
      <c r="J5" s="12"/>
      <c r="K5" s="12"/>
      <c r="L5" s="12"/>
      <c r="M5" s="12"/>
      <c r="N5" s="12"/>
      <c r="O5" s="12"/>
    </row>
    <row r="6" spans="1:17" x14ac:dyDescent="0.2">
      <c r="A6" t="s">
        <v>7</v>
      </c>
      <c r="B6" s="3">
        <v>-0.35699999999999998</v>
      </c>
      <c r="C6" s="3">
        <v>0.378</v>
      </c>
      <c r="E6" t="s">
        <v>7</v>
      </c>
      <c r="F6" s="3">
        <v>-0.49299999999999999</v>
      </c>
      <c r="G6" s="3">
        <v>0.86899999999999999</v>
      </c>
      <c r="I6" s="12" t="s">
        <v>36</v>
      </c>
      <c r="J6" s="12"/>
      <c r="K6" s="12"/>
      <c r="L6" s="12"/>
      <c r="M6" s="12"/>
      <c r="N6" s="12"/>
      <c r="O6" s="12"/>
    </row>
    <row r="7" spans="1:17" x14ac:dyDescent="0.2">
      <c r="A7" t="s">
        <v>8</v>
      </c>
      <c r="B7" s="3">
        <v>-9.7000000000000003E-2</v>
      </c>
      <c r="C7" s="3">
        <v>5.3999999999999999E-2</v>
      </c>
      <c r="E7" t="s">
        <v>8</v>
      </c>
      <c r="F7" s="3">
        <v>-0.45300000000000001</v>
      </c>
      <c r="G7" s="3">
        <v>0.54900000000000004</v>
      </c>
      <c r="I7" s="11"/>
      <c r="J7" s="11"/>
      <c r="K7" s="11"/>
      <c r="L7" s="11"/>
      <c r="M7" s="11"/>
      <c r="N7" s="11"/>
      <c r="O7" s="11"/>
    </row>
    <row r="8" spans="1:17" x14ac:dyDescent="0.2">
      <c r="A8" t="s">
        <v>9</v>
      </c>
      <c r="B8" s="3">
        <v>-0.41</v>
      </c>
      <c r="C8" s="3">
        <v>0.75800000000000001</v>
      </c>
      <c r="E8" t="s">
        <v>9</v>
      </c>
      <c r="F8" s="3">
        <v>-0.61</v>
      </c>
      <c r="G8" s="3">
        <v>0.81899999999999995</v>
      </c>
      <c r="I8" s="11"/>
      <c r="J8" s="11"/>
      <c r="K8" s="11"/>
      <c r="L8" s="11"/>
      <c r="M8" s="11"/>
      <c r="N8" s="11"/>
      <c r="O8" s="11"/>
    </row>
    <row r="9" spans="1:17" x14ac:dyDescent="0.2">
      <c r="A9" t="s">
        <v>10</v>
      </c>
      <c r="B9" s="3">
        <v>-0.33</v>
      </c>
      <c r="C9" s="3">
        <v>0.54700000000000004</v>
      </c>
      <c r="E9" t="s">
        <v>10</v>
      </c>
      <c r="F9" s="3">
        <v>-0.52</v>
      </c>
      <c r="G9" s="3">
        <v>0.90400000000000003</v>
      </c>
    </row>
    <row r="10" spans="1:17" x14ac:dyDescent="0.2">
      <c r="A10" t="s">
        <v>11</v>
      </c>
      <c r="B10" s="3">
        <v>-0.154</v>
      </c>
      <c r="C10" s="3">
        <v>-0.04</v>
      </c>
      <c r="E10" t="s">
        <v>11</v>
      </c>
      <c r="F10" s="3">
        <v>-0.54</v>
      </c>
      <c r="G10" s="3">
        <v>0.67600000000000005</v>
      </c>
    </row>
    <row r="11" spans="1:17" x14ac:dyDescent="0.2">
      <c r="A11" t="s">
        <v>12</v>
      </c>
      <c r="B11" s="3">
        <v>-4.7E-2</v>
      </c>
      <c r="C11" s="3">
        <v>0.13300000000000001</v>
      </c>
      <c r="E11" t="s">
        <v>12</v>
      </c>
      <c r="F11" s="3">
        <v>-0.28499999999999998</v>
      </c>
      <c r="G11" s="3">
        <v>0.82199999999999995</v>
      </c>
    </row>
    <row r="12" spans="1:17" x14ac:dyDescent="0.2">
      <c r="A12" t="s">
        <v>13</v>
      </c>
      <c r="B12" s="3">
        <v>-5.3999999999999999E-2</v>
      </c>
      <c r="C12" s="3">
        <v>0.41199999999999998</v>
      </c>
      <c r="E12" t="s">
        <v>13</v>
      </c>
      <c r="F12" s="3">
        <v>-0.59499999999999997</v>
      </c>
      <c r="G12" s="3">
        <v>1.1850000000000001</v>
      </c>
    </row>
    <row r="13" spans="1:17" x14ac:dyDescent="0.2">
      <c r="A13" t="s">
        <v>14</v>
      </c>
      <c r="B13" s="3">
        <v>-0.20699999999999999</v>
      </c>
      <c r="C13" s="3">
        <v>-0.122</v>
      </c>
      <c r="E13" t="s">
        <v>14</v>
      </c>
      <c r="F13" s="3">
        <v>-0.20799999999999999</v>
      </c>
      <c r="G13" s="3">
        <v>0.29599999999999999</v>
      </c>
    </row>
    <row r="14" spans="1:17" x14ac:dyDescent="0.2">
      <c r="A14" t="s">
        <v>15</v>
      </c>
      <c r="B14" s="3">
        <v>7.8E-2</v>
      </c>
      <c r="C14" s="3">
        <v>-0.32900000000000001</v>
      </c>
      <c r="E14" t="s">
        <v>16</v>
      </c>
      <c r="F14" s="3">
        <v>-0.03</v>
      </c>
      <c r="G14" s="3">
        <v>-7.0999999999999994E-2</v>
      </c>
    </row>
    <row r="15" spans="1:17" x14ac:dyDescent="0.2">
      <c r="A15" t="s">
        <v>16</v>
      </c>
      <c r="B15" s="3">
        <v>-0.05</v>
      </c>
      <c r="C15" s="3">
        <v>-0.189</v>
      </c>
      <c r="E15" t="s">
        <v>17</v>
      </c>
      <c r="F15" s="3">
        <v>-1.7999999999999999E-2</v>
      </c>
      <c r="G15" s="3">
        <v>-0.254</v>
      </c>
    </row>
    <row r="16" spans="1:17" x14ac:dyDescent="0.2">
      <c r="A16" t="s">
        <v>17</v>
      </c>
      <c r="B16" s="3">
        <v>-4.0000000000000001E-3</v>
      </c>
      <c r="C16" s="3">
        <v>-0.1</v>
      </c>
      <c r="E16" t="s">
        <v>18</v>
      </c>
      <c r="F16" s="3">
        <v>8.3000000000000004E-2</v>
      </c>
      <c r="G16" s="3">
        <v>-0.26900000000000002</v>
      </c>
    </row>
    <row r="17" spans="1:17" x14ac:dyDescent="0.2">
      <c r="A17" t="s">
        <v>18</v>
      </c>
      <c r="B17" s="3">
        <v>5.0000000000000001E-3</v>
      </c>
      <c r="C17" s="3">
        <v>-1.6E-2</v>
      </c>
      <c r="E17" t="s">
        <v>32</v>
      </c>
      <c r="F17" s="3">
        <v>6.5890000000000004E-2</v>
      </c>
      <c r="G17" s="3">
        <v>4.0840000000000001E-2</v>
      </c>
    </row>
    <row r="18" spans="1:17" x14ac:dyDescent="0.2">
      <c r="A18" t="s">
        <v>19</v>
      </c>
      <c r="B18" s="3">
        <v>-2.1999999999999999E-2</v>
      </c>
      <c r="C18" s="3">
        <v>0.05</v>
      </c>
      <c r="E18" t="s">
        <v>19</v>
      </c>
      <c r="F18" s="3">
        <v>1.7999999999999999E-2</v>
      </c>
      <c r="G18" s="3">
        <v>-0.24</v>
      </c>
    </row>
    <row r="19" spans="1:17" x14ac:dyDescent="0.2">
      <c r="A19" t="s">
        <v>20</v>
      </c>
      <c r="B19" s="3">
        <v>-7.8E-2</v>
      </c>
      <c r="C19" s="3">
        <v>8.7999999999999995E-2</v>
      </c>
      <c r="E19" t="s">
        <v>20</v>
      </c>
      <c r="F19" s="3">
        <v>-2E-3</v>
      </c>
      <c r="G19" s="3">
        <v>-3.1E-2</v>
      </c>
    </row>
    <row r="20" spans="1:17" x14ac:dyDescent="0.2">
      <c r="A20" t="s">
        <v>21</v>
      </c>
      <c r="B20" s="3">
        <v>-0.109</v>
      </c>
      <c r="C20" s="3">
        <v>0.31</v>
      </c>
      <c r="E20" t="s">
        <v>21</v>
      </c>
      <c r="F20" s="3">
        <v>-7.0000000000000007E-2</v>
      </c>
      <c r="G20" s="3">
        <v>0.25800000000000001</v>
      </c>
    </row>
    <row r="21" spans="1:17" x14ac:dyDescent="0.2">
      <c r="A21" t="s">
        <v>22</v>
      </c>
      <c r="B21" s="3">
        <v>-5.2999999999999999E-2</v>
      </c>
      <c r="C21" s="3">
        <v>-0.128</v>
      </c>
      <c r="E21" t="s">
        <v>22</v>
      </c>
      <c r="F21" s="3">
        <v>5.8000000000000003E-2</v>
      </c>
      <c r="G21" s="3">
        <v>-2.5999999999999999E-2</v>
      </c>
    </row>
    <row r="22" spans="1:17" x14ac:dyDescent="0.2">
      <c r="A22" t="s">
        <v>23</v>
      </c>
      <c r="B22" s="3">
        <v>-0.01</v>
      </c>
      <c r="C22" s="3">
        <v>1.4999999999999999E-2</v>
      </c>
      <c r="E22" t="s">
        <v>23</v>
      </c>
      <c r="F22" s="3">
        <v>8.0000000000000002E-3</v>
      </c>
      <c r="G22" s="3">
        <v>-3.0000000000000001E-3</v>
      </c>
    </row>
    <row r="23" spans="1:17" x14ac:dyDescent="0.2">
      <c r="A23" t="s">
        <v>24</v>
      </c>
      <c r="B23" s="3">
        <v>-0.254</v>
      </c>
      <c r="C23" s="3">
        <v>0.51100000000000001</v>
      </c>
      <c r="E23" t="s">
        <v>24</v>
      </c>
      <c r="F23" s="3">
        <v>-0.253</v>
      </c>
      <c r="G23" s="3">
        <v>0.52600000000000002</v>
      </c>
    </row>
    <row r="24" spans="1:17" x14ac:dyDescent="0.2">
      <c r="A24" t="s">
        <v>25</v>
      </c>
      <c r="B24" s="3">
        <v>-1.2999999999999999E-2</v>
      </c>
      <c r="C24" s="3">
        <v>0.23599999999999999</v>
      </c>
      <c r="E24" t="s">
        <v>25</v>
      </c>
      <c r="F24" s="3">
        <v>-0.08</v>
      </c>
      <c r="G24" s="3">
        <v>0.20699999999999999</v>
      </c>
    </row>
    <row r="25" spans="1:17" x14ac:dyDescent="0.2">
      <c r="A25" t="s">
        <v>26</v>
      </c>
      <c r="B25" s="3">
        <v>-3.6999999999999998E-2</v>
      </c>
      <c r="C25" s="3">
        <v>0.17699999999999999</v>
      </c>
      <c r="E25" t="s">
        <v>26</v>
      </c>
      <c r="F25" s="3">
        <v>-0.21099999999999999</v>
      </c>
      <c r="G25" s="3">
        <v>0.38900000000000001</v>
      </c>
    </row>
    <row r="26" spans="1:17" x14ac:dyDescent="0.2">
      <c r="A26" t="s">
        <v>27</v>
      </c>
      <c r="B26" s="3">
        <v>-0.44900000000000001</v>
      </c>
      <c r="C26" s="3">
        <v>1.3979999999999999</v>
      </c>
      <c r="E26" t="s">
        <v>27</v>
      </c>
      <c r="F26" s="3">
        <v>-0.38500000000000001</v>
      </c>
      <c r="G26" s="3">
        <v>1.214</v>
      </c>
    </row>
    <row r="27" spans="1:17" x14ac:dyDescent="0.2">
      <c r="A27" t="s">
        <v>28</v>
      </c>
      <c r="B27" s="3">
        <v>-5.0000000000000001E-3</v>
      </c>
      <c r="C27" s="3">
        <v>8.2000000000000003E-2</v>
      </c>
      <c r="E27" t="s">
        <v>28</v>
      </c>
      <c r="F27" s="3">
        <v>-6.0000000000000001E-3</v>
      </c>
      <c r="G27" s="3">
        <v>5.2999999999999999E-2</v>
      </c>
    </row>
    <row r="28" spans="1:17" x14ac:dyDescent="0.2">
      <c r="A28" t="s">
        <v>29</v>
      </c>
      <c r="B28" s="3">
        <v>-5.0000000000000001E-3</v>
      </c>
      <c r="C28" s="3">
        <v>-9.2999999999999999E-2</v>
      </c>
    </row>
    <row r="29" spans="1:17" x14ac:dyDescent="0.2">
      <c r="A29" t="s">
        <v>30</v>
      </c>
      <c r="B29" s="3">
        <v>3.0000000000000001E-3</v>
      </c>
      <c r="C29" s="3">
        <v>-0.112</v>
      </c>
    </row>
    <row r="30" spans="1:17" x14ac:dyDescent="0.2">
      <c r="A30" s="4" t="s">
        <v>31</v>
      </c>
      <c r="B30" s="6">
        <f>AVERAGE(B3:B29)</f>
        <v>-0.1192592592592592</v>
      </c>
      <c r="C30" s="6">
        <f>AVERAGE(C3:C29)</f>
        <v>0.17651851851851852</v>
      </c>
      <c r="E30" s="7" t="s">
        <v>31</v>
      </c>
      <c r="F30" s="6">
        <f>AVERAGE(F3:F27)</f>
        <v>-0.18228439999999999</v>
      </c>
      <c r="G30" s="6">
        <f>AVERAGE(G3:G27)</f>
        <v>0.32551360000000001</v>
      </c>
    </row>
    <row r="32" spans="1:17" x14ac:dyDescent="0.2">
      <c r="O32" s="4"/>
      <c r="P32" s="3"/>
      <c r="Q32" s="3"/>
    </row>
    <row r="33" spans="15:17" x14ac:dyDescent="0.2">
      <c r="O33" s="4"/>
      <c r="P33" s="3"/>
      <c r="Q33" s="3"/>
    </row>
  </sheetData>
  <mergeCells count="5">
    <mergeCell ref="I3:O4"/>
    <mergeCell ref="I5:O5"/>
    <mergeCell ref="I6:O6"/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2026-03-14T20:26:50Z</dcterms:created>
  <dcterms:modified xsi:type="dcterms:W3CDTF">2026-03-14T20:42:37Z</dcterms:modified>
</cp:coreProperties>
</file>